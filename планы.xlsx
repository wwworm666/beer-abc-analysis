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PT Mono"/>
      <b val="1"/>
      <color theme="1"/>
      <sz val="14"/>
    </font>
    <font>
      <name val="PT Mono"/>
      <color rgb="FF343434"/>
      <sz val="12"/>
    </font>
    <font>
      <name val="PT Mono"/>
      <color theme="1"/>
      <sz val="12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" fontId="2" fillId="2" borderId="1" applyAlignment="1" pivotButton="0" quotePrefix="0" xfId="0">
      <alignment vertical="bottom"/>
    </xf>
    <xf numFmtId="4" fontId="3" fillId="3" borderId="2" applyAlignment="1" pivotButton="0" quotePrefix="0" xfId="0">
      <alignment vertical="bottom"/>
    </xf>
    <xf numFmtId="4" fontId="2" fillId="0" borderId="1" applyAlignment="1" pivotButton="0" quotePrefix="0" xfId="0">
      <alignment vertical="bottom"/>
    </xf>
    <xf numFmtId="4" fontId="4" fillId="4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4" fontId="3" fillId="0" borderId="1" applyAlignment="1" pivotButton="0" quotePrefix="0" xfId="0">
      <alignment vertical="bottom"/>
    </xf>
    <xf numFmtId="2" fontId="2" fillId="2" borderId="1" applyAlignment="1" pivotButton="0" quotePrefix="0" xfId="0">
      <alignment vertical="bottom"/>
    </xf>
    <xf numFmtId="0" fontId="2" fillId="2" borderId="3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7"/>
  <sheetViews>
    <sheetView workbookViewId="0">
      <selection activeCell="A1" sqref="A1"/>
    </sheetView>
  </sheetViews>
  <sheetFormatPr baseColWidth="8" defaultColWidth="12.63" defaultRowHeight="15.75" customHeight="1"/>
  <cols>
    <col width="23.75" customWidth="1" style="12" min="2" max="2"/>
    <col width="22" customWidth="1" style="12" min="5" max="5"/>
    <col width="20.38" customWidth="1" style="12" min="8" max="8"/>
    <col width="19" customWidth="1" style="12" min="11" max="11"/>
  </cols>
  <sheetData>
    <row r="1">
      <c r="A1" s="1" t="inlineStr">
        <is>
          <t>ПЛАН: Кременчугская</t>
        </is>
      </c>
      <c r="D1" s="2" t="inlineStr">
        <is>
          <t xml:space="preserve">ПЛАН: Варшавская </t>
        </is>
      </c>
      <c r="G1" s="1" t="inlineStr">
        <is>
          <t>ПЛАН: Лиговский</t>
        </is>
      </c>
      <c r="J1" s="1" t="inlineStr">
        <is>
          <t>ПЛАН: ВО</t>
        </is>
      </c>
    </row>
    <row r="2">
      <c r="A2" s="3" t="inlineStr">
        <is>
          <t>Ноябрь</t>
        </is>
      </c>
      <c r="B2" s="3" t="inlineStr">
        <is>
          <t>План</t>
        </is>
      </c>
      <c r="D2" s="3" t="inlineStr">
        <is>
          <t>Ноябрь</t>
        </is>
      </c>
      <c r="E2" s="3" t="inlineStr">
        <is>
          <t>План</t>
        </is>
      </c>
      <c r="G2" s="3" t="inlineStr">
        <is>
          <t>Октябрь</t>
        </is>
      </c>
      <c r="H2" s="3" t="inlineStr">
        <is>
          <t>План</t>
        </is>
      </c>
      <c r="J2" s="3" t="inlineStr">
        <is>
          <t>Октябрь</t>
        </is>
      </c>
      <c r="K2" s="3" t="inlineStr">
        <is>
          <t>План</t>
        </is>
      </c>
    </row>
    <row r="3">
      <c r="A3" s="3" t="inlineStr">
        <is>
          <t>Выручка</t>
        </is>
      </c>
      <c r="B3" s="3">
        <f>B13*B14</f>
        <v/>
      </c>
      <c r="D3" s="3" t="inlineStr">
        <is>
          <t>Выручка</t>
        </is>
      </c>
      <c r="E3" s="3">
        <f>E13*E14</f>
        <v/>
      </c>
      <c r="G3" s="3" t="inlineStr">
        <is>
          <t>Выручка</t>
        </is>
      </c>
      <c r="H3" s="4">
        <f>H13*H14</f>
        <v/>
      </c>
      <c r="J3" s="3" t="inlineStr">
        <is>
          <t>Выручка</t>
        </is>
      </c>
      <c r="K3" s="4">
        <f>K13*K14</f>
        <v/>
      </c>
    </row>
    <row r="4">
      <c r="A4" s="5" t="inlineStr">
        <is>
          <t>Прибыль</t>
        </is>
      </c>
      <c r="B4" s="5">
        <f>B3 * (1 - 1 / (1 + B16 / 100))
</f>
        <v/>
      </c>
      <c r="D4" s="5" t="inlineStr">
        <is>
          <t>Прибыль</t>
        </is>
      </c>
      <c r="E4" s="5">
        <f>E3 * (1 - 1 / (1 + E16 / 100))
</f>
        <v/>
      </c>
      <c r="G4" s="5" t="inlineStr">
        <is>
          <t>Прибыль</t>
        </is>
      </c>
      <c r="H4" s="5">
        <f>H3 * (1 - 1 / (1 +H16  / 100))
</f>
        <v/>
      </c>
      <c r="J4" s="5" t="inlineStr">
        <is>
          <t>Прибыль</t>
        </is>
      </c>
      <c r="K4" s="5">
        <f>K3 * (1 - 1 / (1 +K16  / 100))
</f>
        <v/>
      </c>
    </row>
    <row r="5">
      <c r="A5" s="6" t="n"/>
      <c r="B5" s="6" t="n"/>
      <c r="D5" s="6" t="n"/>
      <c r="E5" s="6" t="n"/>
      <c r="G5" s="6" t="n"/>
      <c r="H5" s="6" t="n"/>
      <c r="J5" s="6" t="n"/>
      <c r="K5" s="6" t="n"/>
    </row>
    <row r="6">
      <c r="A6" s="7" t="inlineStr">
        <is>
          <t>Наценка розлив</t>
        </is>
      </c>
      <c r="B6" s="8" t="n">
        <v>260</v>
      </c>
      <c r="D6" s="3" t="inlineStr">
        <is>
          <t>Наценка розлив</t>
        </is>
      </c>
      <c r="E6" s="8" t="n">
        <v>260</v>
      </c>
      <c r="G6" s="7" t="inlineStr">
        <is>
          <t>Наценка розлив</t>
        </is>
      </c>
      <c r="H6" s="8" t="n">
        <v>200</v>
      </c>
      <c r="J6" s="7" t="inlineStr">
        <is>
          <t>Наценка розлив</t>
        </is>
      </c>
      <c r="K6" s="8" t="n">
        <v>260</v>
      </c>
    </row>
    <row r="7">
      <c r="A7" s="7" t="inlineStr">
        <is>
          <t>Наценка фасовка</t>
        </is>
      </c>
      <c r="B7" s="8" t="n">
        <v>125</v>
      </c>
      <c r="D7" s="3" t="inlineStr">
        <is>
          <t>Наценка фасовка</t>
        </is>
      </c>
      <c r="E7" s="8" t="n">
        <v>125</v>
      </c>
      <c r="G7" s="7" t="inlineStr">
        <is>
          <t>Наценка фасовка</t>
        </is>
      </c>
      <c r="H7" s="8" t="n">
        <v>120</v>
      </c>
      <c r="J7" s="7" t="inlineStr">
        <is>
          <t>Наценка фасовка</t>
        </is>
      </c>
      <c r="K7" s="8" t="n">
        <v>120</v>
      </c>
    </row>
    <row r="8">
      <c r="A8" s="7" t="inlineStr">
        <is>
          <t>Наценка кухня</t>
        </is>
      </c>
      <c r="B8" s="9" t="n">
        <v>170</v>
      </c>
      <c r="D8" s="3" t="inlineStr">
        <is>
          <t>Наценка кухня</t>
        </is>
      </c>
      <c r="E8" s="8" t="n">
        <v>180</v>
      </c>
      <c r="G8" s="7" t="inlineStr">
        <is>
          <t>Наценка кухня</t>
        </is>
      </c>
      <c r="H8" s="9" t="n">
        <v>160</v>
      </c>
      <c r="J8" s="7" t="inlineStr">
        <is>
          <t>Наценка кухня</t>
        </is>
      </c>
      <c r="K8" s="9" t="n">
        <v>160</v>
      </c>
    </row>
    <row r="9">
      <c r="A9" s="3" t="inlineStr">
        <is>
          <t>ДОЛЯ Р</t>
        </is>
      </c>
      <c r="B9" s="8" t="n">
        <v>60</v>
      </c>
      <c r="D9" s="3" t="inlineStr">
        <is>
          <t>ДОЛЯ Р</t>
        </is>
      </c>
      <c r="E9" s="8" t="n">
        <v>60</v>
      </c>
      <c r="G9" s="3" t="inlineStr">
        <is>
          <t>ДОЛЯ Р</t>
        </is>
      </c>
      <c r="H9" s="8" t="n">
        <v>60</v>
      </c>
      <c r="J9" s="3" t="inlineStr">
        <is>
          <t>ДОЛЯ Р</t>
        </is>
      </c>
      <c r="K9" s="8" t="n">
        <v>60</v>
      </c>
    </row>
    <row r="10">
      <c r="A10" s="3" t="inlineStr">
        <is>
          <t>Доля Ф</t>
        </is>
      </c>
      <c r="B10" s="8" t="n">
        <v>25</v>
      </c>
      <c r="D10" s="3" t="inlineStr">
        <is>
          <t>Доля Ф</t>
        </is>
      </c>
      <c r="E10" s="8" t="n">
        <v>24</v>
      </c>
      <c r="G10" s="3" t="inlineStr">
        <is>
          <t>Доля Ф</t>
        </is>
      </c>
      <c r="H10" s="8" t="n">
        <v>30</v>
      </c>
      <c r="J10" s="3" t="inlineStr">
        <is>
          <t>Доля Ф</t>
        </is>
      </c>
      <c r="K10" s="8" t="n">
        <v>25</v>
      </c>
    </row>
    <row r="11">
      <c r="A11" s="3" t="inlineStr">
        <is>
          <t>Доля К</t>
        </is>
      </c>
      <c r="B11" s="8" t="n">
        <v>15</v>
      </c>
      <c r="D11" s="3" t="inlineStr">
        <is>
          <t>Доля К</t>
        </is>
      </c>
      <c r="E11" s="8" t="n">
        <v>16</v>
      </c>
      <c r="G11" s="3" t="inlineStr">
        <is>
          <t>Доля К</t>
        </is>
      </c>
      <c r="H11" s="8" t="n">
        <v>10</v>
      </c>
      <c r="J11" s="3" t="inlineStr">
        <is>
          <t>Доля К</t>
        </is>
      </c>
      <c r="K11" s="8" t="n">
        <v>15</v>
      </c>
    </row>
    <row r="12">
      <c r="A12" s="6" t="n"/>
      <c r="B12" s="6" t="n"/>
      <c r="D12" s="6" t="n"/>
      <c r="E12" s="6" t="n"/>
      <c r="G12" s="6" t="n"/>
      <c r="H12" s="6" t="n"/>
      <c r="J12" s="6" t="n"/>
      <c r="K12" s="6" t="n"/>
    </row>
    <row r="13">
      <c r="A13" s="3" t="inlineStr">
        <is>
          <t>Кол-во чеков</t>
        </is>
      </c>
      <c r="B13" s="8" t="n">
        <v>800</v>
      </c>
      <c r="D13" s="3" t="inlineStr">
        <is>
          <t>Кол-во чеков</t>
        </is>
      </c>
      <c r="E13" s="8" t="n">
        <v>705</v>
      </c>
      <c r="G13" s="3" t="inlineStr">
        <is>
          <t>Кол-во чеков</t>
        </is>
      </c>
      <c r="H13" s="8" t="n">
        <v>750</v>
      </c>
      <c r="J13" s="3" t="inlineStr">
        <is>
          <t>Кол-во чеков</t>
        </is>
      </c>
      <c r="K13" s="8" t="n">
        <v>870</v>
      </c>
    </row>
    <row r="14">
      <c r="A14" s="3" t="inlineStr">
        <is>
          <t>средний чек</t>
        </is>
      </c>
      <c r="B14" s="8" t="n">
        <v>1750</v>
      </c>
      <c r="D14" s="3" t="inlineStr">
        <is>
          <t>средний чек</t>
        </is>
      </c>
      <c r="E14" s="8" t="n">
        <v>1350</v>
      </c>
      <c r="G14" s="3" t="inlineStr">
        <is>
          <t>средний чек</t>
        </is>
      </c>
      <c r="H14" s="8" t="n">
        <v>1100</v>
      </c>
      <c r="J14" s="3" t="inlineStr">
        <is>
          <t>средний чек</t>
        </is>
      </c>
      <c r="K14" s="8" t="n">
        <v>1150</v>
      </c>
    </row>
    <row r="15">
      <c r="A15" s="6" t="n"/>
      <c r="B15" s="6" t="n"/>
      <c r="D15" s="6" t="n"/>
      <c r="E15" s="6" t="n"/>
      <c r="G15" s="6" t="n"/>
      <c r="H15" s="6" t="n"/>
      <c r="J15" s="6" t="n"/>
      <c r="K15" s="6" t="n"/>
    </row>
    <row r="16">
      <c r="A16" s="3" t="inlineStr">
        <is>
          <t>Наценка</t>
        </is>
      </c>
      <c r="B16" s="8">
        <f> (1 / ( (B9/100)/(1 + B6/100) + (B10/100)/(1 + B7/100) + (B11/100)/(1 + B8/100) ) - 1 ) * 100
</f>
        <v/>
      </c>
      <c r="D16" s="3" t="inlineStr">
        <is>
          <t>Наценка</t>
        </is>
      </c>
      <c r="E16" s="8">
        <f> (1 / ( (E9/100)/(1 + E6/100) + (E10/100)/(1 + E7/100) + (E11/100)/(1 + E8/100) ) - 1 ) * 100
</f>
        <v/>
      </c>
      <c r="G16" s="10" t="inlineStr">
        <is>
          <t>Наценка</t>
        </is>
      </c>
      <c r="H16" s="8">
        <f> (1 / ( (H9/100)/(1 + H6/100) + (H10/100)/(1 + H7/100) + (H11/100)/(1 + H8/100) ) - 1 ) * 100
</f>
        <v/>
      </c>
      <c r="J16" s="10" t="inlineStr">
        <is>
          <t>Наценка</t>
        </is>
      </c>
      <c r="K16" s="8">
        <f> (1 / ( (K9/100)/(1 + K6/100) + (K10/100)/(1 + K7/100) + (K11/100)/(1 + K8/100) ) - 1 ) * 100</f>
        <v/>
      </c>
    </row>
    <row r="17">
      <c r="J17" s="11" t="n"/>
      <c r="K17" s="11" t="n"/>
    </row>
  </sheetData>
  <mergeCells count="4">
    <mergeCell ref="D1:E1"/>
    <mergeCell ref="J1:K1"/>
    <mergeCell ref="G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2025-11-21T01:07:26Z</dcterms:created>
  <dcterms:modified xsi:type="dcterms:W3CDTF">2025-11-21T01:12:40Z</dcterms:modified>
</cp:coreProperties>
</file>